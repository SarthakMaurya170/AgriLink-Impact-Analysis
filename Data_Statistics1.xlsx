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AgriLink\"/>
    </mc:Choice>
  </mc:AlternateContent>
  <xr:revisionPtr revIDLastSave="0" documentId="8_{B8A64C3A-4476-40AC-BEAB-596237A38CC8}" xr6:coauthVersionLast="47" xr6:coauthVersionMax="47" xr10:uidLastSave="{00000000-0000-0000-0000-000000000000}"/>
  <bookViews>
    <workbookView xWindow="-120" yWindow="-120" windowWidth="29040" windowHeight="15720" xr2:uid="{7AEA0AA0-319F-4F71-9C9A-8E6FC26E74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64" i="1" l="1"/>
  <c r="S33" i="1" s="1"/>
  <c r="E165" i="1"/>
  <c r="S34" i="1" s="1"/>
  <c r="E166" i="1"/>
  <c r="S35" i="1" s="1"/>
  <c r="E167" i="1"/>
  <c r="S36" i="1" s="1"/>
  <c r="E168" i="1"/>
  <c r="S37" i="1" s="1"/>
  <c r="E169" i="1"/>
  <c r="S38" i="1" s="1"/>
  <c r="E170" i="1"/>
  <c r="S39" i="1" s="1"/>
  <c r="E171" i="1"/>
  <c r="S40" i="1" s="1"/>
  <c r="E172" i="1"/>
  <c r="S41" i="1" s="1"/>
  <c r="E173" i="1"/>
  <c r="S42" i="1" s="1"/>
  <c r="E174" i="1"/>
  <c r="S43" i="1" s="1"/>
  <c r="E175" i="1"/>
  <c r="S44" i="1" s="1"/>
  <c r="E176" i="1"/>
  <c r="S45" i="1" s="1"/>
  <c r="E177" i="1"/>
  <c r="S46" i="1" s="1"/>
  <c r="E178" i="1"/>
  <c r="E179" i="1"/>
  <c r="E180" i="1"/>
  <c r="E181" i="1"/>
  <c r="E163" i="1"/>
  <c r="S32" i="1" s="1"/>
  <c r="E162" i="1"/>
  <c r="S31" i="1" s="1"/>
</calcChain>
</file>

<file path=xl/sharedStrings.xml><?xml version="1.0" encoding="utf-8"?>
<sst xmlns="http://schemas.openxmlformats.org/spreadsheetml/2006/main" count="70" uniqueCount="54">
  <si>
    <t>Months</t>
  </si>
  <si>
    <t>Rate</t>
  </si>
  <si>
    <t>2017-18</t>
  </si>
  <si>
    <t>2018-19</t>
  </si>
  <si>
    <t>2019-20</t>
  </si>
  <si>
    <t>2020-21</t>
  </si>
  <si>
    <t>2021-22</t>
  </si>
  <si>
    <t>2022-23</t>
  </si>
  <si>
    <t>2023-24</t>
  </si>
  <si>
    <t>Worker Population Rate</t>
  </si>
  <si>
    <t>Commodities</t>
  </si>
  <si>
    <t>Commision %</t>
  </si>
  <si>
    <t>Sugar</t>
  </si>
  <si>
    <t>oil and fats</t>
  </si>
  <si>
    <t>Tobacco</t>
  </si>
  <si>
    <t>Cotton</t>
  </si>
  <si>
    <t>Wool</t>
  </si>
  <si>
    <t>Silk</t>
  </si>
  <si>
    <t>Jute Textile</t>
  </si>
  <si>
    <t>Fertilizers</t>
  </si>
  <si>
    <t>Cement</t>
  </si>
  <si>
    <t>Iron and Steel</t>
  </si>
  <si>
    <t>Electrical Apparatus</t>
  </si>
  <si>
    <t>Tea processing</t>
  </si>
  <si>
    <t>Milk products</t>
  </si>
  <si>
    <t>Coal mine</t>
  </si>
  <si>
    <t>Iron Mines</t>
  </si>
  <si>
    <t>Magnese mines</t>
  </si>
  <si>
    <t>Oil mines</t>
  </si>
  <si>
    <t>Coffe plantation</t>
  </si>
  <si>
    <t>Rubber</t>
  </si>
  <si>
    <t>Tea plantation</t>
  </si>
  <si>
    <t>Absolute Rate</t>
  </si>
  <si>
    <t>In-hand</t>
  </si>
  <si>
    <t xml:space="preserve">Suresh Jadhav </t>
  </si>
  <si>
    <t xml:space="preserve">Ramesh Pawar
</t>
  </si>
  <si>
    <t>Kishor More</t>
  </si>
  <si>
    <t>Sunita Gaikwad</t>
  </si>
  <si>
    <t>Mangal Deshmukh</t>
  </si>
  <si>
    <t>Anita Sawant</t>
  </si>
  <si>
    <t>Prakash Kadam</t>
  </si>
  <si>
    <t>Laxmi Chavan</t>
  </si>
  <si>
    <t>Vandana Patil</t>
  </si>
  <si>
    <t>Ganesh Shinde</t>
  </si>
  <si>
    <t>Workers/Farmers</t>
  </si>
  <si>
    <t>Before Agri-Link</t>
  </si>
  <si>
    <t>~After Agri-Link</t>
  </si>
  <si>
    <t>Time taken to search for work in minutes</t>
  </si>
  <si>
    <t>Oil and Fats</t>
  </si>
  <si>
    <t>In-Hand wage before Agri-Link</t>
  </si>
  <si>
    <t>Absolute Rate(After Agri-Link)</t>
  </si>
  <si>
    <t>Source : Ministry of Statistics and Program Implementation - labour statistics (17-24)</t>
  </si>
  <si>
    <t>Source : Ground Report for Impact - Team Green Pixel</t>
  </si>
  <si>
    <t>Source : Wage Rates Data - Labour Bureau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</si>
</sst>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Times New Roman"/>
      <family val="1"/>
    </font>
    <font>
      <sz val="16"/>
      <color theme="1"/>
      <name val="Times New Roman"/>
      <family val="1"/>
    </font>
    <font>
      <sz val="24"/>
      <color theme="1"/>
      <name val="Times New Roman"/>
      <family val="1"/>
    </font>
    <font>
      <sz val="26"/>
      <color theme="1"/>
      <name val="Times New Roman"/>
      <family val="1"/>
    </font>
    <font>
      <sz val="28"/>
      <color theme="1"/>
      <name val="Times New Roman"/>
      <family val="1"/>
    </font>
    <font>
      <sz val="3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/>
    <xf numFmtId="0" fontId="3" fillId="0" borderId="3" xfId="0" applyFont="1" applyBorder="1"/>
    <xf numFmtId="0" fontId="3" fillId="0" borderId="0" xfId="0" applyFont="1" applyBorder="1"/>
    <xf numFmtId="0" fontId="3" fillId="0" borderId="1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4" fillId="0" borderId="2" xfId="0" applyFont="1" applyBorder="1"/>
    <xf numFmtId="0" fontId="4" fillId="0" borderId="2" xfId="0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2" xfId="0" applyFont="1" applyBorder="1" applyAlignment="1">
      <alignment horizontal="left" vertical="top"/>
    </xf>
    <xf numFmtId="9" fontId="4" fillId="0" borderId="2" xfId="1" applyFont="1" applyBorder="1"/>
    <xf numFmtId="0" fontId="4" fillId="0" borderId="6" xfId="0" applyFont="1" applyBorder="1"/>
    <xf numFmtId="0" fontId="4" fillId="0" borderId="5" xfId="0" applyFont="1" applyBorder="1"/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/>
    <xf numFmtId="9" fontId="4" fillId="0" borderId="11" xfId="1" applyFont="1" applyBorder="1"/>
    <xf numFmtId="0" fontId="4" fillId="0" borderId="11" xfId="0" applyFont="1" applyBorder="1"/>
    <xf numFmtId="0" fontId="4" fillId="0" borderId="3" xfId="0" applyFont="1" applyBorder="1"/>
    <xf numFmtId="0" fontId="4" fillId="0" borderId="5" xfId="0" applyFont="1" applyBorder="1" applyAlignment="1"/>
    <xf numFmtId="0" fontId="4" fillId="0" borderId="6" xfId="0" applyFont="1" applyBorder="1" applyAlignment="1"/>
    <xf numFmtId="0" fontId="4" fillId="0" borderId="0" xfId="0" applyFont="1" applyAlignment="1">
      <alignment wrapText="1"/>
    </xf>
    <xf numFmtId="0" fontId="4" fillId="0" borderId="12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3200"/>
              <a:t>Daily take-home wage (Before/After)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3421120456135369E-2"/>
          <c:y val="7.3207763408344464E-2"/>
          <c:w val="0.96321882610365084"/>
          <c:h val="0.7053399755179276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Sheet1!$S$30</c:f>
              <c:strCache>
                <c:ptCount val="1"/>
                <c:pt idx="0">
                  <c:v>In-hand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Sheet1!$R$31:$R$50</c:f>
              <c:strCache>
                <c:ptCount val="16"/>
                <c:pt idx="0">
                  <c:v>Sugar</c:v>
                </c:pt>
                <c:pt idx="1">
                  <c:v>Oil and Fats</c:v>
                </c:pt>
                <c:pt idx="2">
                  <c:v>Tobacco</c:v>
                </c:pt>
                <c:pt idx="3">
                  <c:v>Cotton</c:v>
                </c:pt>
                <c:pt idx="4">
                  <c:v>Wool</c:v>
                </c:pt>
                <c:pt idx="5">
                  <c:v>Silk</c:v>
                </c:pt>
                <c:pt idx="6">
                  <c:v>Jute Textile</c:v>
                </c:pt>
                <c:pt idx="7">
                  <c:v>Fertilizers</c:v>
                </c:pt>
                <c:pt idx="8">
                  <c:v>Cement</c:v>
                </c:pt>
                <c:pt idx="9">
                  <c:v>Iron and Steel</c:v>
                </c:pt>
                <c:pt idx="10">
                  <c:v>Electrical Apparatus</c:v>
                </c:pt>
                <c:pt idx="11">
                  <c:v>Tea processing</c:v>
                </c:pt>
                <c:pt idx="12">
                  <c:v>Milk products</c:v>
                </c:pt>
                <c:pt idx="13">
                  <c:v>Coal mine</c:v>
                </c:pt>
                <c:pt idx="14">
                  <c:v>Iron Mines</c:v>
                </c:pt>
                <c:pt idx="15">
                  <c:v>Magnese mines</c:v>
                </c:pt>
              </c:strCache>
            </c:strRef>
          </c:cat>
          <c:val>
            <c:numRef>
              <c:f>Sheet1!$S$31:$S$50</c:f>
              <c:numCache>
                <c:formatCode>General</c:formatCode>
                <c:ptCount val="20"/>
                <c:pt idx="0">
                  <c:v>587.09</c:v>
                </c:pt>
                <c:pt idx="1">
                  <c:v>448.65000000000003</c:v>
                </c:pt>
                <c:pt idx="2">
                  <c:v>228.06</c:v>
                </c:pt>
                <c:pt idx="3">
                  <c:v>399.82500000000005</c:v>
                </c:pt>
                <c:pt idx="4">
                  <c:v>444.16800000000001</c:v>
                </c:pt>
                <c:pt idx="5">
                  <c:v>490.07000000000005</c:v>
                </c:pt>
                <c:pt idx="6">
                  <c:v>472.12399999999997</c:v>
                </c:pt>
                <c:pt idx="7">
                  <c:v>459.05999999999995</c:v>
                </c:pt>
                <c:pt idx="8">
                  <c:v>484.19000000000005</c:v>
                </c:pt>
                <c:pt idx="9">
                  <c:v>464.64599999999996</c:v>
                </c:pt>
                <c:pt idx="10">
                  <c:v>404.04000000000008</c:v>
                </c:pt>
                <c:pt idx="11">
                  <c:v>209.02499999999998</c:v>
                </c:pt>
                <c:pt idx="12">
                  <c:v>621.43200000000002</c:v>
                </c:pt>
                <c:pt idx="13">
                  <c:v>1615.3500000000001</c:v>
                </c:pt>
                <c:pt idx="14">
                  <c:v>665.20799999999997</c:v>
                </c:pt>
                <c:pt idx="15">
                  <c:v>615.37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93-4A3E-B516-51686B39F5D8}"/>
            </c:ext>
          </c:extLst>
        </c:ser>
        <c:ser>
          <c:idx val="1"/>
          <c:order val="1"/>
          <c:tx>
            <c:strRef>
              <c:f>Sheet1!$T$30</c:f>
              <c:strCache>
                <c:ptCount val="1"/>
                <c:pt idx="0">
                  <c:v>Absolute Rate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Sheet1!$R$31:$R$50</c:f>
              <c:strCache>
                <c:ptCount val="16"/>
                <c:pt idx="0">
                  <c:v>Sugar</c:v>
                </c:pt>
                <c:pt idx="1">
                  <c:v>Oil and Fats</c:v>
                </c:pt>
                <c:pt idx="2">
                  <c:v>Tobacco</c:v>
                </c:pt>
                <c:pt idx="3">
                  <c:v>Cotton</c:v>
                </c:pt>
                <c:pt idx="4">
                  <c:v>Wool</c:v>
                </c:pt>
                <c:pt idx="5">
                  <c:v>Silk</c:v>
                </c:pt>
                <c:pt idx="6">
                  <c:v>Jute Textile</c:v>
                </c:pt>
                <c:pt idx="7">
                  <c:v>Fertilizers</c:v>
                </c:pt>
                <c:pt idx="8">
                  <c:v>Cement</c:v>
                </c:pt>
                <c:pt idx="9">
                  <c:v>Iron and Steel</c:v>
                </c:pt>
                <c:pt idx="10">
                  <c:v>Electrical Apparatus</c:v>
                </c:pt>
                <c:pt idx="11">
                  <c:v>Tea processing</c:v>
                </c:pt>
                <c:pt idx="12">
                  <c:v>Milk products</c:v>
                </c:pt>
                <c:pt idx="13">
                  <c:v>Coal mine</c:v>
                </c:pt>
                <c:pt idx="14">
                  <c:v>Iron Mines</c:v>
                </c:pt>
                <c:pt idx="15">
                  <c:v>Magnese mines</c:v>
                </c:pt>
              </c:strCache>
            </c:strRef>
          </c:cat>
          <c:val>
            <c:numRef>
              <c:f>Sheet1!$T$31:$T$50</c:f>
              <c:numCache>
                <c:formatCode>General</c:formatCode>
                <c:ptCount val="20"/>
                <c:pt idx="0">
                  <c:v>838.7</c:v>
                </c:pt>
                <c:pt idx="1">
                  <c:v>598.20000000000005</c:v>
                </c:pt>
                <c:pt idx="2">
                  <c:v>325.8</c:v>
                </c:pt>
                <c:pt idx="3">
                  <c:v>533.1</c:v>
                </c:pt>
                <c:pt idx="4">
                  <c:v>616.9</c:v>
                </c:pt>
                <c:pt idx="5">
                  <c:v>700.1</c:v>
                </c:pt>
                <c:pt idx="6">
                  <c:v>694.3</c:v>
                </c:pt>
                <c:pt idx="7">
                  <c:v>655.8</c:v>
                </c:pt>
                <c:pt idx="8">
                  <c:v>691.7</c:v>
                </c:pt>
                <c:pt idx="9">
                  <c:v>673.4</c:v>
                </c:pt>
                <c:pt idx="10">
                  <c:v>577.20000000000005</c:v>
                </c:pt>
                <c:pt idx="11">
                  <c:v>278.7</c:v>
                </c:pt>
                <c:pt idx="12">
                  <c:v>863.1</c:v>
                </c:pt>
                <c:pt idx="13">
                  <c:v>2153.8000000000002</c:v>
                </c:pt>
                <c:pt idx="14">
                  <c:v>923.9</c:v>
                </c:pt>
                <c:pt idx="15">
                  <c:v>879.1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93-4A3E-B516-51686B39F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03761616"/>
        <c:axId val="998584096"/>
        <c:axId val="0"/>
      </c:bar3DChart>
      <c:catAx>
        <c:axId val="60376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98584096"/>
        <c:crosses val="autoZero"/>
        <c:auto val="1"/>
        <c:lblAlgn val="ctr"/>
        <c:lblOffset val="100"/>
        <c:noMultiLvlLbl val="0"/>
      </c:catAx>
      <c:valAx>
        <c:axId val="99858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600"/>
                  <a:t>Wage in Rupees (</a:t>
                </a:r>
                <a:r>
                  <a:rPr lang="en-IN" sz="1600" b="0" i="0" u="none" strike="noStrike" cap="all" baseline="0">
                    <a:effectLst/>
                  </a:rPr>
                  <a:t>₹</a:t>
                </a:r>
                <a:r>
                  <a:rPr lang="en-US" sz="1600"/>
                  <a:t>)</a:t>
                </a:r>
              </a:p>
            </c:rich>
          </c:tx>
          <c:layout>
            <c:manualLayout>
              <c:xMode val="edge"/>
              <c:yMode val="edge"/>
              <c:x val="3.6524864724962931E-4"/>
              <c:y val="0.247756551653454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0376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lt1">
                  <a:lumMod val="8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3200">
                <a:latin typeface="Times New Roman" panose="02020603050405020304" pitchFamily="18" charset="0"/>
                <a:cs typeface="Times New Roman" panose="02020603050405020304" pitchFamily="18" charset="0"/>
              </a:rPr>
              <a:t>Impact</a:t>
            </a:r>
            <a:r>
              <a:rPr lang="en-US" sz="32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on Worker's Time Before and After Our Application</a:t>
            </a:r>
            <a:endParaRPr lang="en-US" sz="3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730985539609097E-2"/>
          <c:y val="0.10471442982930892"/>
          <c:w val="0.9085592713379379"/>
          <c:h val="0.67824889242102315"/>
        </c:manualLayout>
      </c:layout>
      <c:lineChart>
        <c:grouping val="standard"/>
        <c:varyColors val="0"/>
        <c:ser>
          <c:idx val="0"/>
          <c:order val="0"/>
          <c:tx>
            <c:strRef>
              <c:f>Sheet1!$C$101</c:f>
              <c:strCache>
                <c:ptCount val="1"/>
                <c:pt idx="0">
                  <c:v>Before Agri-Link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  <a:headEnd type="oval"/>
              <a:tailEnd type="oval"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Sheet1!$B$102:$B$111</c:f>
              <c:strCache>
                <c:ptCount val="10"/>
                <c:pt idx="0">
                  <c:v>Suresh Jadhav </c:v>
                </c:pt>
                <c:pt idx="1">
                  <c:v>Ramesh Pawar
</c:v>
                </c:pt>
                <c:pt idx="2">
                  <c:v>Kishor More</c:v>
                </c:pt>
                <c:pt idx="3">
                  <c:v>Sunita Gaikwad</c:v>
                </c:pt>
                <c:pt idx="4">
                  <c:v>Mangal Deshmukh</c:v>
                </c:pt>
                <c:pt idx="5">
                  <c:v>Anita Sawant</c:v>
                </c:pt>
                <c:pt idx="6">
                  <c:v>Prakash Kadam</c:v>
                </c:pt>
                <c:pt idx="7">
                  <c:v>Laxmi Chavan</c:v>
                </c:pt>
                <c:pt idx="8">
                  <c:v>Vandana Patil</c:v>
                </c:pt>
                <c:pt idx="9">
                  <c:v>Ganesh Shinde</c:v>
                </c:pt>
              </c:strCache>
            </c:strRef>
          </c:cat>
          <c:val>
            <c:numRef>
              <c:f>Sheet1!$C$102:$C$111</c:f>
              <c:numCache>
                <c:formatCode>General</c:formatCode>
                <c:ptCount val="10"/>
                <c:pt idx="0">
                  <c:v>150</c:v>
                </c:pt>
                <c:pt idx="1">
                  <c:v>135</c:v>
                </c:pt>
                <c:pt idx="2">
                  <c:v>207</c:v>
                </c:pt>
                <c:pt idx="3">
                  <c:v>194</c:v>
                </c:pt>
                <c:pt idx="4">
                  <c:v>250</c:v>
                </c:pt>
                <c:pt idx="5">
                  <c:v>184</c:v>
                </c:pt>
                <c:pt idx="6">
                  <c:v>172</c:v>
                </c:pt>
                <c:pt idx="7">
                  <c:v>169</c:v>
                </c:pt>
                <c:pt idx="8">
                  <c:v>270</c:v>
                </c:pt>
                <c:pt idx="9">
                  <c:v>340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F6F-4411-8E4F-B04F93410022}"/>
            </c:ext>
          </c:extLst>
        </c:ser>
        <c:ser>
          <c:idx val="1"/>
          <c:order val="1"/>
          <c:tx>
            <c:strRef>
              <c:f>Sheet1!$D$101</c:f>
              <c:strCache>
                <c:ptCount val="1"/>
                <c:pt idx="0">
                  <c:v>~After Agri-Link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  <a:headEnd type="oval"/>
              <a:tailEnd type="oval"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Sheet1!$B$102:$B$111</c:f>
              <c:strCache>
                <c:ptCount val="10"/>
                <c:pt idx="0">
                  <c:v>Suresh Jadhav </c:v>
                </c:pt>
                <c:pt idx="1">
                  <c:v>Ramesh Pawar
</c:v>
                </c:pt>
                <c:pt idx="2">
                  <c:v>Kishor More</c:v>
                </c:pt>
                <c:pt idx="3">
                  <c:v>Sunita Gaikwad</c:v>
                </c:pt>
                <c:pt idx="4">
                  <c:v>Mangal Deshmukh</c:v>
                </c:pt>
                <c:pt idx="5">
                  <c:v>Anita Sawant</c:v>
                </c:pt>
                <c:pt idx="6">
                  <c:v>Prakash Kadam</c:v>
                </c:pt>
                <c:pt idx="7">
                  <c:v>Laxmi Chavan</c:v>
                </c:pt>
                <c:pt idx="8">
                  <c:v>Vandana Patil</c:v>
                </c:pt>
                <c:pt idx="9">
                  <c:v>Ganesh Shinde</c:v>
                </c:pt>
              </c:strCache>
            </c:strRef>
          </c:cat>
          <c:val>
            <c:numRef>
              <c:f>Sheet1!$D$102:$D$111</c:f>
              <c:numCache>
                <c:formatCode>General</c:formatCode>
                <c:ptCount val="10"/>
                <c:pt idx="0">
                  <c:v>15</c:v>
                </c:pt>
                <c:pt idx="1">
                  <c:v>18</c:v>
                </c:pt>
                <c:pt idx="2">
                  <c:v>14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14</c:v>
                </c:pt>
                <c:pt idx="7">
                  <c:v>25</c:v>
                </c:pt>
                <c:pt idx="8">
                  <c:v>21</c:v>
                </c:pt>
                <c:pt idx="9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F6F-4411-8E4F-B04F93410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239520"/>
        <c:axId val="998241440"/>
      </c:lineChart>
      <c:catAx>
        <c:axId val="998239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workers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98241440"/>
        <c:crosses val="autoZero"/>
        <c:auto val="1"/>
        <c:lblAlgn val="ctr"/>
        <c:lblOffset val="100"/>
        <c:noMultiLvlLbl val="0"/>
      </c:catAx>
      <c:valAx>
        <c:axId val="998241440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chemeClr val="bg1"/>
              </a:solidFill>
              <a:prstDash val="lg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  <a:r>
                  <a:rPr lang="en-US" sz="16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spent in MIn</a:t>
                </a:r>
                <a:endParaRPr lang="en-US" sz="16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23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lt1">
                  <a:lumMod val="8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3200">
                <a:latin typeface="Times New Roman" panose="02020603050405020304" pitchFamily="18" charset="0"/>
                <a:cs typeface="Times New Roman" panose="02020603050405020304" pitchFamily="18" charset="0"/>
              </a:rPr>
              <a:t>Growth</a:t>
            </a:r>
            <a:r>
              <a:rPr lang="en-US" sz="32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Rate of Worker Population Over Years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Sheet1!$B$39</c:f>
              <c:strCache>
                <c:ptCount val="1"/>
                <c:pt idx="0">
                  <c:v>Rate</c:v>
                </c:pt>
              </c:strCache>
            </c:strRef>
          </c:tx>
          <c:spPr>
            <a:ln w="34925" cap="rnd">
              <a:solidFill>
                <a:srgbClr val="FFFF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chemeClr val="bg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Sheet1!$C$38:$I$38</c:f>
              <c:strCache>
                <c:ptCount val="7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  <c:pt idx="6">
                  <c:v>2023-24</c:v>
                </c:pt>
              </c:strCache>
            </c:strRef>
          </c:cat>
          <c:val>
            <c:numRef>
              <c:f>Sheet1!$C$39:$I$39</c:f>
              <c:numCache>
                <c:formatCode>General</c:formatCode>
                <c:ptCount val="7"/>
                <c:pt idx="0">
                  <c:v>48.1</c:v>
                </c:pt>
                <c:pt idx="1">
                  <c:v>48.9</c:v>
                </c:pt>
                <c:pt idx="2">
                  <c:v>53.3</c:v>
                </c:pt>
                <c:pt idx="3">
                  <c:v>55.5</c:v>
                </c:pt>
                <c:pt idx="4">
                  <c:v>55.6</c:v>
                </c:pt>
                <c:pt idx="5">
                  <c:v>59.4</c:v>
                </c:pt>
                <c:pt idx="6">
                  <c:v>62.1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29-4A01-9123-709956776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5420127"/>
        <c:axId val="1325417631"/>
      </c:lineChart>
      <c:catAx>
        <c:axId val="1325420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25417631"/>
        <c:crosses val="autoZero"/>
        <c:auto val="1"/>
        <c:lblAlgn val="ctr"/>
        <c:lblOffset val="100"/>
        <c:noMultiLvlLbl val="0"/>
      </c:catAx>
      <c:valAx>
        <c:axId val="132541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Growth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25420127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183696</xdr:colOff>
      <xdr:row>123</xdr:row>
      <xdr:rowOff>4199</xdr:rowOff>
    </xdr:from>
    <xdr:to>
      <xdr:col>8</xdr:col>
      <xdr:colOff>462642</xdr:colOff>
      <xdr:row>157</xdr:row>
      <xdr:rowOff>40820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EE2F207-C49B-6AB2-B8FE-70C2F07289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59</xdr:row>
      <xdr:rowOff>166254</xdr:rowOff>
    </xdr:from>
    <xdr:to>
      <xdr:col>8</xdr:col>
      <xdr:colOff>1666874</xdr:colOff>
      <xdr:row>96</xdr:row>
      <xdr:rowOff>166687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0EA9C22-4810-8622-E729-77DF34FC6A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126517</xdr:rowOff>
    </xdr:from>
    <xdr:to>
      <xdr:col>8</xdr:col>
      <xdr:colOff>1610591</xdr:colOff>
      <xdr:row>31</xdr:row>
      <xdr:rowOff>86591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CE243A-5BE5-45DC-AE13-0CB2318E90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BD76A3-5C3A-46FD-8E80-C5C63DBFB7A1}" name="Table2" displayName="Table2" ref="B101:D111" totalsRowShown="0" headerRowDxfId="29" dataDxfId="27" headerRowBorderDxfId="28" tableBorderDxfId="26" totalsRowBorderDxfId="25">
  <autoFilter ref="B101:D111" xr:uid="{F1BD76A3-5C3A-46FD-8E80-C5C63DBFB7A1}"/>
  <tableColumns count="3">
    <tableColumn id="1" xr3:uid="{78F5B395-3539-4FA9-B66A-84D850376B20}" name="Workers/Farmers" dataDxfId="24"/>
    <tableColumn id="2" xr3:uid="{FCF6BE04-3F12-4F6A-8E9C-514E331EDBA7}" name="Before Agri-Link" dataDxfId="23"/>
    <tableColumn id="3" xr3:uid="{34601FB2-1A14-4182-94F4-36E5B3E43AF6}" name="~After Agri-Link" dataDxfId="22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F2A2C7-9DD2-4555-9B3F-96CE3FE90E74}" name="Table3" displayName="Table3" ref="C161:F181" totalsRowShown="0" headerRowDxfId="21" dataDxfId="19" headerRowBorderDxfId="20" tableBorderDxfId="18" totalsRowBorderDxfId="17">
  <autoFilter ref="C161:F181" xr:uid="{5DF2A2C7-9DD2-4555-9B3F-96CE3FE90E74}"/>
  <tableColumns count="4">
    <tableColumn id="1" xr3:uid="{A8263593-0A28-4EB8-B364-BF7E43C0D536}" name="Commodities" dataDxfId="16"/>
    <tableColumn id="2" xr3:uid="{466DC540-58F8-4DDA-8EF0-B39247B95FC2}" name="Commision %" dataDxfId="15" dataCellStyle="Percent"/>
    <tableColumn id="3" xr3:uid="{FDC01920-F829-47FB-9E9D-D358CAF39BDD}" name="In-Hand wage before Agri-Link" dataDxfId="14">
      <calculatedColumnFormula>D162*F162</calculatedColumnFormula>
    </tableColumn>
    <tableColumn id="4" xr3:uid="{6EE9434B-5AAF-41CF-9220-DAE0BE54EB0F}" name="Absolute Rate(After Agri-Link)" dataDxfId="13"/>
  </tableColumns>
  <tableStyleInfo name="TableStyleLight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DB31A1A-1BE1-4C5E-A2EB-612BC30A06B5}" name="Table5" displayName="Table5" ref="B38:I39" totalsRowShown="0" headerRowDxfId="12" dataDxfId="10" headerRowBorderDxfId="11" tableBorderDxfId="9" totalsRowBorderDxfId="8">
  <autoFilter ref="B38:I39" xr:uid="{0DB31A1A-1BE1-4C5E-A2EB-612BC30A06B5}"/>
  <tableColumns count="8">
    <tableColumn id="1" xr3:uid="{11CE885D-4A3A-4931-8E7E-39601B5C7CDE}" name="Months" dataDxfId="7"/>
    <tableColumn id="2" xr3:uid="{6237F959-CF4B-4001-B234-114847E1D497}" name="2017-18" dataDxfId="6"/>
    <tableColumn id="3" xr3:uid="{31F0312F-FD80-491C-8EBD-B2E8D9B84A1C}" name="2018-19" dataDxfId="5"/>
    <tableColumn id="4" xr3:uid="{D5136DA4-75BC-4E16-BA0F-E1A3803A1744}" name="2019-20" dataDxfId="4"/>
    <tableColumn id="5" xr3:uid="{1F517B72-2762-453E-A73F-9179CDE23A9D}" name="2020-21" dataDxfId="3"/>
    <tableColumn id="6" xr3:uid="{17560F49-A9EA-4A93-A765-6087E2AD534A}" name="2021-22" dataDxfId="2"/>
    <tableColumn id="7" xr3:uid="{7A2731D6-29CD-4815-A442-BDD700D19329}" name="2022-23" dataDxfId="1"/>
    <tableColumn id="8" xr3:uid="{67D79B0C-1A5C-4885-A700-698F1A64EFF6}" name="2023-24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5D033-E90C-4E91-AC7B-E972E55239C4}">
  <dimension ref="B6:AC181"/>
  <sheetViews>
    <sheetView tabSelected="1" topLeftCell="A49" zoomScale="40" zoomScaleNormal="40" zoomScaleSheetLayoutView="55" workbookViewId="0">
      <selection activeCell="M87" sqref="M87"/>
    </sheetView>
  </sheetViews>
  <sheetFormatPr defaultRowHeight="15"/>
  <cols>
    <col min="1" max="1" width="9" style="1"/>
    <col min="2" max="2" width="21.5" style="1" customWidth="1"/>
    <col min="3" max="3" width="29.625" style="1" bestFit="1" customWidth="1"/>
    <col min="4" max="4" width="29.25" style="1" customWidth="1"/>
    <col min="5" max="10" width="22.25" style="1" bestFit="1" customWidth="1"/>
    <col min="11" max="13" width="9" style="1"/>
    <col min="14" max="14" width="20.125" style="1" bestFit="1" customWidth="1"/>
    <col min="15" max="15" width="13.625" style="1" bestFit="1" customWidth="1"/>
    <col min="16" max="16" width="14.5" style="1" bestFit="1" customWidth="1"/>
    <col min="17" max="17" width="9" style="1"/>
    <col min="18" max="18" width="17.375" style="1" bestFit="1" customWidth="1"/>
    <col min="19" max="20" width="9" style="1"/>
    <col min="21" max="21" width="24.5" style="1" bestFit="1" customWidth="1"/>
    <col min="22" max="22" width="18.375" style="1" customWidth="1"/>
    <col min="23" max="23" width="37" style="1" customWidth="1"/>
    <col min="24" max="24" width="37.75" style="1" customWidth="1"/>
    <col min="25" max="16384" width="9" style="1"/>
  </cols>
  <sheetData>
    <row r="6" spans="4:7" ht="15.75" thickBot="1"/>
    <row r="7" spans="4:7" ht="15.75" thickBot="1">
      <c r="D7" s="4"/>
      <c r="G7" s="4"/>
    </row>
    <row r="8" spans="4:7" ht="15.75" thickBot="1">
      <c r="D8" s="4"/>
      <c r="G8" s="4"/>
    </row>
    <row r="9" spans="4:7" ht="15.75" thickBot="1">
      <c r="D9" s="5"/>
      <c r="G9" s="4"/>
    </row>
    <row r="10" spans="4:7" ht="15.75" thickBot="1">
      <c r="G10" s="4"/>
    </row>
    <row r="15" spans="4:7">
      <c r="F15" s="2"/>
    </row>
    <row r="26" spans="9:20">
      <c r="L26" s="3"/>
      <c r="M26" s="3"/>
      <c r="N26" s="3"/>
      <c r="O26" s="3"/>
      <c r="P26" s="3"/>
      <c r="Q26" s="3"/>
      <c r="R26" s="3"/>
    </row>
    <row r="27" spans="9:20">
      <c r="L27" s="3"/>
      <c r="M27" s="3"/>
      <c r="N27" s="3"/>
      <c r="O27" s="3"/>
      <c r="P27" s="3"/>
      <c r="Q27" s="3"/>
      <c r="R27" s="3"/>
    </row>
    <row r="28" spans="9:20">
      <c r="L28" s="3"/>
      <c r="M28" s="3"/>
      <c r="N28" s="3"/>
      <c r="O28" s="3"/>
      <c r="P28" s="3"/>
      <c r="Q28" s="3"/>
      <c r="R28" s="3"/>
    </row>
    <row r="29" spans="9:20">
      <c r="L29" s="3"/>
      <c r="M29" s="3"/>
      <c r="N29" s="3"/>
      <c r="O29" s="3"/>
      <c r="P29" s="3"/>
      <c r="Q29" s="3"/>
      <c r="R29" s="3"/>
    </row>
    <row r="30" spans="9:20">
      <c r="L30" s="3"/>
      <c r="M30" s="3"/>
      <c r="R30" s="3" t="s">
        <v>10</v>
      </c>
      <c r="S30" s="3" t="s">
        <v>33</v>
      </c>
      <c r="T30" s="3" t="s">
        <v>32</v>
      </c>
    </row>
    <row r="31" spans="9:20">
      <c r="R31" s="3" t="s">
        <v>12</v>
      </c>
      <c r="S31" s="3">
        <f t="shared" ref="S31:S46" si="0">F162-E162</f>
        <v>587.09</v>
      </c>
      <c r="T31" s="3">
        <v>838.7</v>
      </c>
    </row>
    <row r="32" spans="9:20">
      <c r="I32" s="3"/>
      <c r="R32" s="3" t="s">
        <v>48</v>
      </c>
      <c r="S32" s="3">
        <f t="shared" si="0"/>
        <v>448.65000000000003</v>
      </c>
      <c r="T32" s="3">
        <v>598.20000000000005</v>
      </c>
    </row>
    <row r="33" spans="2:20">
      <c r="J33" s="3"/>
      <c r="K33" s="3"/>
      <c r="R33" s="3" t="s">
        <v>14</v>
      </c>
      <c r="S33" s="3">
        <f t="shared" si="0"/>
        <v>228.06</v>
      </c>
      <c r="T33" s="3">
        <v>325.8</v>
      </c>
    </row>
    <row r="34" spans="2:20">
      <c r="J34" s="3"/>
      <c r="K34" s="3"/>
      <c r="R34" s="3" t="s">
        <v>15</v>
      </c>
      <c r="S34" s="3">
        <f t="shared" si="0"/>
        <v>399.82500000000005</v>
      </c>
      <c r="T34" s="3">
        <v>533.1</v>
      </c>
    </row>
    <row r="35" spans="2:20">
      <c r="J35" s="3"/>
      <c r="K35" s="3"/>
      <c r="R35" s="3" t="s">
        <v>16</v>
      </c>
      <c r="S35" s="3">
        <f t="shared" si="0"/>
        <v>444.16800000000001</v>
      </c>
      <c r="T35" s="3">
        <v>616.9</v>
      </c>
    </row>
    <row r="36" spans="2:20">
      <c r="I36" s="3"/>
      <c r="J36" s="3"/>
      <c r="K36" s="3"/>
      <c r="R36" s="3" t="s">
        <v>17</v>
      </c>
      <c r="S36" s="3">
        <f t="shared" si="0"/>
        <v>490.07000000000005</v>
      </c>
      <c r="T36" s="3">
        <v>700.1</v>
      </c>
    </row>
    <row r="37" spans="2:20" ht="45.75">
      <c r="B37" s="27" t="s">
        <v>9</v>
      </c>
      <c r="C37" s="27"/>
      <c r="D37" s="27"/>
      <c r="E37" s="27"/>
      <c r="F37" s="27"/>
      <c r="G37" s="27"/>
      <c r="H37" s="27"/>
      <c r="I37" s="27"/>
      <c r="J37" s="3"/>
      <c r="K37" s="3"/>
      <c r="R37" s="3" t="s">
        <v>18</v>
      </c>
      <c r="S37" s="3">
        <f t="shared" si="0"/>
        <v>472.12399999999997</v>
      </c>
      <c r="T37" s="3">
        <v>694.3</v>
      </c>
    </row>
    <row r="38" spans="2:20" ht="45.75">
      <c r="B38" s="11" t="s">
        <v>0</v>
      </c>
      <c r="C38" s="11" t="s">
        <v>2</v>
      </c>
      <c r="D38" s="11" t="s">
        <v>3</v>
      </c>
      <c r="E38" s="11" t="s">
        <v>4</v>
      </c>
      <c r="F38" s="11" t="s">
        <v>5</v>
      </c>
      <c r="G38" s="11" t="s">
        <v>6</v>
      </c>
      <c r="H38" s="11" t="s">
        <v>7</v>
      </c>
      <c r="I38" s="11" t="s">
        <v>8</v>
      </c>
      <c r="J38" s="3"/>
      <c r="K38" s="3"/>
      <c r="R38" s="3" t="s">
        <v>19</v>
      </c>
      <c r="S38" s="3">
        <f t="shared" si="0"/>
        <v>459.05999999999995</v>
      </c>
      <c r="T38" s="3">
        <v>655.8</v>
      </c>
    </row>
    <row r="39" spans="2:20" ht="45.75">
      <c r="B39" s="11" t="s">
        <v>1</v>
      </c>
      <c r="C39" s="11">
        <v>48.1</v>
      </c>
      <c r="D39" s="11">
        <v>48.9</v>
      </c>
      <c r="E39" s="11">
        <v>53.3</v>
      </c>
      <c r="F39" s="11">
        <v>55.5</v>
      </c>
      <c r="G39" s="11">
        <v>55.6</v>
      </c>
      <c r="H39" s="11">
        <v>59.4</v>
      </c>
      <c r="I39" s="11">
        <v>62.1</v>
      </c>
      <c r="J39" s="3"/>
      <c r="K39" s="3"/>
      <c r="R39" s="3" t="s">
        <v>20</v>
      </c>
      <c r="S39" s="3">
        <f t="shared" si="0"/>
        <v>484.19000000000005</v>
      </c>
      <c r="T39" s="3">
        <v>691.7</v>
      </c>
    </row>
    <row r="40" spans="2:20">
      <c r="I40" s="3"/>
      <c r="J40" s="3"/>
      <c r="K40" s="3"/>
      <c r="R40" s="3" t="s">
        <v>21</v>
      </c>
      <c r="S40" s="3">
        <f t="shared" si="0"/>
        <v>464.64599999999996</v>
      </c>
      <c r="T40" s="3">
        <v>673.4</v>
      </c>
    </row>
    <row r="41" spans="2:20">
      <c r="I41" s="3"/>
      <c r="J41" s="3"/>
      <c r="K41" s="3"/>
      <c r="R41" s="3" t="s">
        <v>22</v>
      </c>
      <c r="S41" s="3">
        <f t="shared" si="0"/>
        <v>404.04000000000008</v>
      </c>
      <c r="T41" s="3">
        <v>577.20000000000005</v>
      </c>
    </row>
    <row r="42" spans="2:20">
      <c r="I42" s="3"/>
      <c r="J42" s="3"/>
      <c r="K42" s="3"/>
      <c r="R42" s="3" t="s">
        <v>23</v>
      </c>
      <c r="S42" s="3">
        <f t="shared" si="0"/>
        <v>209.02499999999998</v>
      </c>
      <c r="T42" s="3">
        <v>278.7</v>
      </c>
    </row>
    <row r="43" spans="2:20">
      <c r="I43" s="3"/>
      <c r="J43" s="3"/>
      <c r="K43" s="3"/>
      <c r="R43" s="3" t="s">
        <v>24</v>
      </c>
      <c r="S43" s="3">
        <f t="shared" si="0"/>
        <v>621.43200000000002</v>
      </c>
      <c r="T43" s="3">
        <v>863.1</v>
      </c>
    </row>
    <row r="44" spans="2:20">
      <c r="I44" s="3"/>
      <c r="J44" s="3"/>
      <c r="K44" s="3"/>
      <c r="R44" s="3" t="s">
        <v>25</v>
      </c>
      <c r="S44" s="3">
        <f t="shared" si="0"/>
        <v>1615.3500000000001</v>
      </c>
      <c r="T44" s="3">
        <v>2153.8000000000002</v>
      </c>
    </row>
    <row r="45" spans="2:20" ht="35.25">
      <c r="C45" s="10" t="s">
        <v>51</v>
      </c>
      <c r="I45" s="3"/>
      <c r="J45" s="3"/>
      <c r="K45" s="3"/>
      <c r="R45" s="3" t="s">
        <v>26</v>
      </c>
      <c r="S45" s="3">
        <f t="shared" si="0"/>
        <v>665.20799999999997</v>
      </c>
      <c r="T45" s="3">
        <v>923.9</v>
      </c>
    </row>
    <row r="46" spans="2:20">
      <c r="I46" s="3"/>
      <c r="J46" s="3"/>
      <c r="K46" s="3"/>
      <c r="R46" s="3" t="s">
        <v>27</v>
      </c>
      <c r="S46" s="3">
        <f t="shared" si="0"/>
        <v>615.37</v>
      </c>
      <c r="T46" s="3">
        <v>879.1</v>
      </c>
    </row>
    <row r="47" spans="2:20">
      <c r="I47" s="3"/>
      <c r="J47" s="3"/>
      <c r="K47" s="3"/>
    </row>
    <row r="48" spans="2:20">
      <c r="I48" s="3"/>
      <c r="J48" s="3"/>
      <c r="K48" s="3"/>
    </row>
    <row r="49" spans="9:29">
      <c r="I49" s="3"/>
      <c r="J49" s="3"/>
      <c r="K49" s="3"/>
    </row>
    <row r="57" spans="9:29">
      <c r="AA57" s="3"/>
      <c r="AB57" s="3"/>
      <c r="AC57" s="3"/>
    </row>
    <row r="58" spans="9:29">
      <c r="AA58" s="3"/>
      <c r="AB58" s="3"/>
      <c r="AC58" s="3"/>
    </row>
    <row r="59" spans="9:29">
      <c r="AA59" s="3"/>
      <c r="AB59" s="3"/>
      <c r="AC59" s="3"/>
    </row>
    <row r="60" spans="9:29">
      <c r="AA60" s="3"/>
      <c r="AB60" s="3"/>
      <c r="AC60" s="3"/>
    </row>
    <row r="67" ht="15" customHeight="1"/>
    <row r="100" spans="2:4" ht="20.25">
      <c r="B100" s="25"/>
      <c r="C100" s="23" t="s">
        <v>47</v>
      </c>
      <c r="D100" s="24"/>
    </row>
    <row r="101" spans="2:4" ht="20.25">
      <c r="B101" s="26" t="s">
        <v>44</v>
      </c>
      <c r="C101" s="7" t="s">
        <v>45</v>
      </c>
      <c r="D101" s="7" t="s">
        <v>46</v>
      </c>
    </row>
    <row r="102" spans="2:4" ht="20.25">
      <c r="B102" s="7" t="s">
        <v>34</v>
      </c>
      <c r="C102" s="7">
        <v>150</v>
      </c>
      <c r="D102" s="7">
        <v>15</v>
      </c>
    </row>
    <row r="103" spans="2:4" ht="20.25">
      <c r="B103" s="7" t="s">
        <v>35</v>
      </c>
      <c r="C103" s="7">
        <v>135</v>
      </c>
      <c r="D103" s="7">
        <v>18</v>
      </c>
    </row>
    <row r="104" spans="2:4" ht="20.25">
      <c r="B104" s="7" t="s">
        <v>36</v>
      </c>
      <c r="C104" s="7">
        <v>207</v>
      </c>
      <c r="D104" s="7">
        <v>14</v>
      </c>
    </row>
    <row r="105" spans="2:4" ht="20.25">
      <c r="B105" s="7" t="s">
        <v>37</v>
      </c>
      <c r="C105" s="7">
        <v>194</v>
      </c>
      <c r="D105" s="7">
        <v>13</v>
      </c>
    </row>
    <row r="106" spans="2:4" ht="20.25">
      <c r="B106" s="7" t="s">
        <v>38</v>
      </c>
      <c r="C106" s="7">
        <v>250</v>
      </c>
      <c r="D106" s="7">
        <v>16</v>
      </c>
    </row>
    <row r="107" spans="2:4" ht="20.25">
      <c r="B107" s="7" t="s">
        <v>39</v>
      </c>
      <c r="C107" s="7">
        <v>184</v>
      </c>
      <c r="D107" s="7">
        <v>20</v>
      </c>
    </row>
    <row r="108" spans="2:4" ht="20.25">
      <c r="B108" s="7" t="s">
        <v>40</v>
      </c>
      <c r="C108" s="7">
        <v>172</v>
      </c>
      <c r="D108" s="7">
        <v>14</v>
      </c>
    </row>
    <row r="109" spans="2:4" ht="20.25">
      <c r="B109" s="7" t="s">
        <v>41</v>
      </c>
      <c r="C109" s="7">
        <v>169</v>
      </c>
      <c r="D109" s="7">
        <v>25</v>
      </c>
    </row>
    <row r="110" spans="2:4" ht="20.25">
      <c r="B110" s="7" t="s">
        <v>42</v>
      </c>
      <c r="C110" s="7">
        <v>270</v>
      </c>
      <c r="D110" s="7">
        <v>21</v>
      </c>
    </row>
    <row r="111" spans="2:4" ht="20.25">
      <c r="B111" s="7" t="s">
        <v>43</v>
      </c>
      <c r="C111" s="7">
        <v>340</v>
      </c>
      <c r="D111" s="7">
        <v>13</v>
      </c>
    </row>
    <row r="113" spans="5:5" ht="33">
      <c r="E113" s="9" t="s">
        <v>52</v>
      </c>
    </row>
    <row r="159" spans="6:6" ht="30.75">
      <c r="F159" s="8" t="s">
        <v>53</v>
      </c>
    </row>
    <row r="161" spans="3:6" ht="60.75">
      <c r="C161" s="15" t="s">
        <v>10</v>
      </c>
      <c r="D161" s="16" t="s">
        <v>11</v>
      </c>
      <c r="E161" s="17" t="s">
        <v>49</v>
      </c>
      <c r="F161" s="18" t="s">
        <v>50</v>
      </c>
    </row>
    <row r="162" spans="3:6" ht="20.25">
      <c r="C162" s="13" t="s">
        <v>12</v>
      </c>
      <c r="D162" s="12">
        <v>0.3</v>
      </c>
      <c r="E162" s="6">
        <f t="shared" ref="E162:E181" si="1">D162*F162</f>
        <v>251.61</v>
      </c>
      <c r="F162" s="14">
        <v>838.7</v>
      </c>
    </row>
    <row r="163" spans="3:6" ht="20.25">
      <c r="C163" s="13" t="s">
        <v>13</v>
      </c>
      <c r="D163" s="12">
        <v>0.25</v>
      </c>
      <c r="E163" s="6">
        <f t="shared" si="1"/>
        <v>149.55000000000001</v>
      </c>
      <c r="F163" s="14">
        <v>598.20000000000005</v>
      </c>
    </row>
    <row r="164" spans="3:6" ht="20.25">
      <c r="C164" s="13" t="s">
        <v>14</v>
      </c>
      <c r="D164" s="12">
        <v>0.3</v>
      </c>
      <c r="E164" s="6">
        <f t="shared" si="1"/>
        <v>97.74</v>
      </c>
      <c r="F164" s="14">
        <v>325.8</v>
      </c>
    </row>
    <row r="165" spans="3:6" ht="20.25">
      <c r="C165" s="13" t="s">
        <v>15</v>
      </c>
      <c r="D165" s="12">
        <v>0.25</v>
      </c>
      <c r="E165" s="6">
        <f t="shared" si="1"/>
        <v>133.27500000000001</v>
      </c>
      <c r="F165" s="14">
        <v>533.1</v>
      </c>
    </row>
    <row r="166" spans="3:6" ht="20.25">
      <c r="C166" s="13" t="s">
        <v>16</v>
      </c>
      <c r="D166" s="12">
        <v>0.28000000000000003</v>
      </c>
      <c r="E166" s="6">
        <f t="shared" si="1"/>
        <v>172.732</v>
      </c>
      <c r="F166" s="14">
        <v>616.9</v>
      </c>
    </row>
    <row r="167" spans="3:6" ht="20.25">
      <c r="C167" s="13" t="s">
        <v>17</v>
      </c>
      <c r="D167" s="12">
        <v>0.3</v>
      </c>
      <c r="E167" s="6">
        <f t="shared" si="1"/>
        <v>210.03</v>
      </c>
      <c r="F167" s="14">
        <v>700.1</v>
      </c>
    </row>
    <row r="168" spans="3:6" ht="20.25">
      <c r="C168" s="13" t="s">
        <v>18</v>
      </c>
      <c r="D168" s="12">
        <v>0.32</v>
      </c>
      <c r="E168" s="6">
        <f t="shared" si="1"/>
        <v>222.17599999999999</v>
      </c>
      <c r="F168" s="14">
        <v>694.3</v>
      </c>
    </row>
    <row r="169" spans="3:6" ht="20.25">
      <c r="C169" s="13" t="s">
        <v>19</v>
      </c>
      <c r="D169" s="12">
        <v>0.3</v>
      </c>
      <c r="E169" s="6">
        <f t="shared" si="1"/>
        <v>196.73999999999998</v>
      </c>
      <c r="F169" s="14">
        <v>655.8</v>
      </c>
    </row>
    <row r="170" spans="3:6" ht="20.25">
      <c r="C170" s="13" t="s">
        <v>20</v>
      </c>
      <c r="D170" s="12">
        <v>0.3</v>
      </c>
      <c r="E170" s="6">
        <f t="shared" si="1"/>
        <v>207.51000000000002</v>
      </c>
      <c r="F170" s="14">
        <v>691.7</v>
      </c>
    </row>
    <row r="171" spans="3:6" ht="20.25">
      <c r="C171" s="13" t="s">
        <v>21</v>
      </c>
      <c r="D171" s="12">
        <v>0.31</v>
      </c>
      <c r="E171" s="6">
        <f t="shared" si="1"/>
        <v>208.75399999999999</v>
      </c>
      <c r="F171" s="14">
        <v>673.4</v>
      </c>
    </row>
    <row r="172" spans="3:6" ht="20.25">
      <c r="C172" s="13" t="s">
        <v>22</v>
      </c>
      <c r="D172" s="12">
        <v>0.3</v>
      </c>
      <c r="E172" s="6">
        <f t="shared" si="1"/>
        <v>173.16</v>
      </c>
      <c r="F172" s="14">
        <v>577.20000000000005</v>
      </c>
    </row>
    <row r="173" spans="3:6" ht="20.25">
      <c r="C173" s="13" t="s">
        <v>23</v>
      </c>
      <c r="D173" s="12">
        <v>0.25</v>
      </c>
      <c r="E173" s="6">
        <f t="shared" si="1"/>
        <v>69.674999999999997</v>
      </c>
      <c r="F173" s="14">
        <v>278.7</v>
      </c>
    </row>
    <row r="174" spans="3:6" ht="20.25">
      <c r="C174" s="13" t="s">
        <v>24</v>
      </c>
      <c r="D174" s="12">
        <v>0.28000000000000003</v>
      </c>
      <c r="E174" s="6">
        <f t="shared" si="1"/>
        <v>241.66800000000003</v>
      </c>
      <c r="F174" s="14">
        <v>863.1</v>
      </c>
    </row>
    <row r="175" spans="3:6" ht="20.25">
      <c r="C175" s="13" t="s">
        <v>25</v>
      </c>
      <c r="D175" s="12">
        <v>0.25</v>
      </c>
      <c r="E175" s="6">
        <f t="shared" si="1"/>
        <v>538.45000000000005</v>
      </c>
      <c r="F175" s="14">
        <v>2153.8000000000002</v>
      </c>
    </row>
    <row r="176" spans="3:6" ht="20.25">
      <c r="C176" s="13" t="s">
        <v>26</v>
      </c>
      <c r="D176" s="12">
        <v>0.28000000000000003</v>
      </c>
      <c r="E176" s="6">
        <f t="shared" si="1"/>
        <v>258.69200000000001</v>
      </c>
      <c r="F176" s="14">
        <v>923.9</v>
      </c>
    </row>
    <row r="177" spans="3:6" ht="20.25">
      <c r="C177" s="13" t="s">
        <v>27</v>
      </c>
      <c r="D177" s="12">
        <v>0.3</v>
      </c>
      <c r="E177" s="6">
        <f t="shared" si="1"/>
        <v>263.73</v>
      </c>
      <c r="F177" s="14">
        <v>879.1</v>
      </c>
    </row>
    <row r="178" spans="3:6" ht="20.25">
      <c r="C178" s="13" t="s">
        <v>28</v>
      </c>
      <c r="D178" s="12">
        <v>0.35</v>
      </c>
      <c r="E178" s="6">
        <f t="shared" si="1"/>
        <v>500.32499999999999</v>
      </c>
      <c r="F178" s="14">
        <v>1429.5</v>
      </c>
    </row>
    <row r="179" spans="3:6" ht="20.25">
      <c r="C179" s="13" t="s">
        <v>29</v>
      </c>
      <c r="D179" s="12">
        <v>0.3</v>
      </c>
      <c r="E179" s="6">
        <f t="shared" si="1"/>
        <v>114.03</v>
      </c>
      <c r="F179" s="14">
        <v>380.1</v>
      </c>
    </row>
    <row r="180" spans="3:6" ht="20.25">
      <c r="C180" s="13" t="s">
        <v>30</v>
      </c>
      <c r="D180" s="12">
        <v>0.3</v>
      </c>
      <c r="E180" s="6">
        <f t="shared" si="1"/>
        <v>160.91999999999999</v>
      </c>
      <c r="F180" s="14">
        <v>536.4</v>
      </c>
    </row>
    <row r="181" spans="3:6" ht="20.25">
      <c r="C181" s="19" t="s">
        <v>31</v>
      </c>
      <c r="D181" s="20">
        <v>0.25</v>
      </c>
      <c r="E181" s="21">
        <f t="shared" si="1"/>
        <v>58</v>
      </c>
      <c r="F181" s="22">
        <v>232</v>
      </c>
    </row>
  </sheetData>
  <mergeCells count="1">
    <mergeCell ref="B37:I37"/>
  </mergeCells>
  <phoneticPr fontId="2" type="noConversion"/>
  <pageMargins left="0.7" right="0.7" top="0.75" bottom="0.75" header="0.3" footer="0.3"/>
  <pageSetup scale="54" orientation="landscape" r:id="rId1"/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 Dhanse</dc:creator>
  <cp:lastModifiedBy>Pratik jojode</cp:lastModifiedBy>
  <cp:lastPrinted>2025-09-13T18:43:31Z</cp:lastPrinted>
  <dcterms:created xsi:type="dcterms:W3CDTF">2025-09-13T14:36:31Z</dcterms:created>
  <dcterms:modified xsi:type="dcterms:W3CDTF">2025-09-14T14:23:10Z</dcterms:modified>
</cp:coreProperties>
</file>